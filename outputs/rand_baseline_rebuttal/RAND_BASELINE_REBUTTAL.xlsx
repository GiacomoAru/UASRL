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6e272083e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3f18fd847b7e4547"/>
    <x:sheet xmlns:r="http://schemas.openxmlformats.org/officeDocument/2006/relationships" name="Audit" sheetId="2" r:id="Rf8cd2f61ad414f72"/>
    <x:sheet xmlns:r="http://schemas.openxmlformats.org/officeDocument/2006/relationships" name="Deltas" sheetId="3" r:id="R70fc3477fdfe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"/>
    <x:numFmt numFmtId="203" formatCode="+0.0;-0.0;0.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8B1E1E"/>
      <x:name val="Carlito"/>
    </x:font>
    <x:font>
      <x:b/>
      <x:sz val="11"/>
      <x:color rgb="FFFFFFFF"/>
      <x:name val="Carlito"/>
    </x:font>
    <x:font>
      <x:i/>
      <x:sz val="11"/>
      <x:color rgb="FF394B59"/>
      <x:name val="Carlito"/>
    </x:font>
    <x:font>
      <x:b/>
      <x:sz val="16"/>
      <x:color rgb="FFFFFFFF"/>
      <x:name val="Aptos"/>
    </x:font>
    <x:font>
      <x:b/>
      <x:sz val="11"/>
      <x:color rgb="FF8B1E1E"/>
      <x:name val="Aptos"/>
    </x:font>
    <x:font>
      <x:sz val="11"/>
      <x:name val="Aptos"/>
    </x:font>
    <x:font>
      <x:b/>
      <x:sz val="11"/>
      <x:color rgb="FFFFFFFF"/>
      <x:name val="Aptos"/>
    </x:font>
    <x:font>
      <x:i/>
      <x:sz val="11"/>
      <x:color rgb="FF394B59"/>
      <x:name val="Aptos"/>
    </x:font>
    <x:font>
      <x:i/>
      <x:sz val="11"/>
      <x:name val="Carlito"/>
    </x:font>
    <x:font>
      <x:i/>
      <x:sz val="1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CE8E6"/>
      </x:patternFill>
    </x:fill>
    <x:fill>
      <x:patternFill patternType="solid">
        <x:fgColor rgb="FF167D8D"/>
      </x:patternFill>
    </x:fill>
    <x:fill>
      <x:patternFill patternType="solid">
        <x:fgColor rgb="FFEAF3F8"/>
      </x:patternFill>
    </x:fill>
    <x:fill>
      <x:patternFill patternType="solid">
        <x:fgColor rgb="FFFFF3D6"/>
      </x:patternFill>
    </x:fill>
    <x:fill>
      <x:patternFill patternType="solid">
        <x:fgColor rgb="FFF3F5F7"/>
      </x:patternFill>
    </x:fill>
    <x:fill>
      <x:patternFill patternType="solid">
        <x:fgColor rgb="FF17324D"/>
      </x:patternFill>
    </x:fill>
    <x:fill>
      <x:patternFill patternType="solid">
        <x:fgColor rgb="FF167D8D"/>
      </x:patternFill>
    </x:fill>
    <x:fill>
      <x:patternFill patternType="solid">
        <x:fgColor rgb="FFF3F5F7"/>
      </x:patternFill>
    </x:fill>
  </x:fills>
  <x:borders count="7">
    <x:border/>
    <x:border>
      <x:left style="thin">
        <x:color rgb="FF0E5964"/>
      </x:left>
      <x:top style="thin">
        <x:color rgb="FF0E5964"/>
      </x:top>
      <x:bottom style="thin">
        <x:color rgb="FF0E5964"/>
      </x:bottom>
    </x:border>
    <x:border>
      <x:top style="thin">
        <x:color rgb="FF0E5964"/>
      </x:top>
      <x:bottom style="thin">
        <x:color rgb="FF0E5964"/>
      </x:bottom>
    </x:border>
    <x:border>
      <x:right style="thin">
        <x:color rgb="FF0E5964"/>
      </x:right>
      <x:top style="thin">
        <x:color rgb="FF0E5964"/>
      </x:top>
      <x:bottom style="thin">
        <x:color rgb="FF0E5964"/>
      </x:bottom>
    </x:border>
    <x:border>
      <x:bottom style="thin">
        <x:color rgb="FFD7E0E5"/>
      </x:bottom>
    </x:border>
    <x:border>
      <x:top style="thin">
        <x:color rgb="FFD7E0E5"/>
      </x:top>
      <x:bottom style="thin">
        <x:color rgb="FFD7E0E5"/>
      </x:bottom>
    </x:border>
    <x:border>
      <x:top style="thin">
        <x:color rgb="FFD7E0E5"/>
      </x:top>
      <x:bottom style="thin">
        <x:color rgb="FF8EA3AD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200" fontId="0" fillId="5" borderId="4" xfId="0" applyNumberFormat="1" applyFont="1" applyFill="1" applyBorder="1"/>
    <x:xf numFmtId="200" fontId="0" fillId="6" borderId="5" xfId="0" applyNumberFormat="1" applyFont="1" applyFill="1" applyBorder="1"/>
    <x:xf numFmtId="200" fontId="0" fillId="5" borderId="5" xfId="0" applyNumberFormat="1" applyFont="1" applyFill="1" applyBorder="1"/>
    <x:xf numFmtId="200" fontId="0" fillId="6" borderId="6" xfId="0" applyNumberFormat="1" applyFont="1" applyFill="1" applyBorder="1"/>
    <x:xf numFmtId="201" fontId="0" fillId="5" borderId="4" xfId="0" applyNumberFormat="1" applyFont="1" applyFill="1" applyBorder="1"/>
    <x:xf numFmtId="201" fontId="0" fillId="6" borderId="5" xfId="0" applyNumberFormat="1" applyFont="1" applyFill="1" applyBorder="1"/>
    <x:xf numFmtId="201" fontId="0" fillId="5" borderId="5" xfId="0" applyNumberFormat="1" applyFont="1" applyFill="1" applyBorder="1"/>
    <x:xf numFmtId="201" fontId="0" fillId="6" borderId="6" xfId="0" applyNumberFormat="1" applyFont="1" applyFill="1" applyBorder="1"/>
    <x:xf numFmtId="202" fontId="0" fillId="5" borderId="4" xfId="0" applyNumberFormat="1" applyFont="1" applyFill="1" applyBorder="1"/>
    <x:xf numFmtId="202" fontId="0" fillId="6" borderId="5" xfId="0" applyNumberFormat="1" applyFont="1" applyFill="1" applyBorder="1"/>
    <x:xf numFmtId="202" fontId="0" fillId="5" borderId="5" xfId="0" applyNumberFormat="1" applyFont="1" applyFill="1" applyBorder="1"/>
    <x:xf numFmtId="202" fontId="0" fillId="6" borderId="6" xfId="0" applyNumberFormat="1" applyFont="1" applyFill="1" applyBorder="1"/>
    <x:xf numFmtId="200" fontId="0" fillId="5" borderId="4" xfId="0" applyNumberFormat="1" applyFont="1" applyFill="1" applyBorder="1" applyAlignment="1">
      <x:alignment horizontal="right"/>
    </x:xf>
    <x:xf numFmtId="201" fontId="0" fillId="5" borderId="4" xfId="0" applyNumberFormat="1" applyFont="1" applyFill="1" applyBorder="1" applyAlignment="1">
      <x:alignment horizontal="right"/>
    </x:xf>
    <x:xf numFmtId="202" fontId="0" fillId="5" borderId="4" xfId="0" applyNumberFormat="1" applyFont="1" applyFill="1" applyBorder="1" applyAlignment="1">
      <x:alignment horizontal="right"/>
    </x:xf>
    <x:xf numFmtId="200" fontId="0" fillId="6" borderId="5" xfId="0" applyNumberFormat="1" applyFont="1" applyFill="1" applyBorder="1" applyAlignment="1">
      <x:alignment horizontal="right"/>
    </x:xf>
    <x:xf numFmtId="201" fontId="0" fillId="6" borderId="5" xfId="0" applyNumberFormat="1" applyFont="1" applyFill="1" applyBorder="1" applyAlignment="1">
      <x:alignment horizontal="right"/>
    </x:xf>
    <x:xf numFmtId="202" fontId="0" fillId="6" borderId="5" xfId="0" applyNumberFormat="1" applyFont="1" applyFill="1" applyBorder="1" applyAlignment="1">
      <x:alignment horizontal="right"/>
    </x:xf>
    <x:xf numFmtId="200" fontId="0" fillId="5" borderId="5" xfId="0" applyNumberFormat="1" applyFont="1" applyFill="1" applyBorder="1" applyAlignment="1">
      <x:alignment horizontal="right"/>
    </x:xf>
    <x:xf numFmtId="201" fontId="0" fillId="5" borderId="5" xfId="0" applyNumberFormat="1" applyFont="1" applyFill="1" applyBorder="1" applyAlignment="1">
      <x:alignment horizontal="right"/>
    </x:xf>
    <x:xf numFmtId="202" fontId="0" fillId="5" borderId="5" xfId="0" applyNumberFormat="1" applyFont="1" applyFill="1" applyBorder="1" applyAlignment="1">
      <x:alignment horizontal="right"/>
    </x:xf>
    <x:xf numFmtId="200" fontId="0" fillId="6" borderId="6" xfId="0" applyNumberFormat="1" applyFont="1" applyFill="1" applyBorder="1" applyAlignment="1">
      <x:alignment horizontal="right"/>
    </x:xf>
    <x:xf numFmtId="201" fontId="0" fillId="6" borderId="6" xfId="0" applyNumberFormat="1" applyFont="1" applyFill="1" applyBorder="1" applyAlignment="1">
      <x:alignment horizontal="right"/>
    </x:xf>
    <x:xf numFmtId="202" fontId="0" fillId="6" borderId="6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/>
    <x:xf numFmtId="200" fontId="7" fillId="5" borderId="4" xfId="0" applyNumberFormat="1" applyFont="1" applyFill="1" applyBorder="1" applyAlignment="1">
      <x:alignment horizontal="right"/>
    </x:xf>
    <x:xf numFmtId="201" fontId="7" fillId="5" borderId="4" xfId="0" applyNumberFormat="1" applyFont="1" applyFill="1" applyBorder="1" applyAlignment="1">
      <x:alignment horizontal="right"/>
    </x:xf>
    <x:xf numFmtId="202" fontId="7" fillId="5" borderId="4" xfId="0" applyNumberFormat="1" applyFont="1" applyFill="1" applyBorder="1" applyAlignment="1">
      <x:alignment horizontal="right"/>
    </x:xf>
    <x:xf numFmtId="0" fontId="7" fillId="6" borderId="5" xfId="0" applyNumberFormat="1" applyFont="1" applyFill="1" applyBorder="1"/>
    <x:xf numFmtId="200" fontId="7" fillId="6" borderId="5" xfId="0" applyNumberFormat="1" applyFont="1" applyFill="1" applyBorder="1" applyAlignment="1">
      <x:alignment horizontal="right"/>
    </x:xf>
    <x:xf numFmtId="201" fontId="7" fillId="6" borderId="5" xfId="0" applyNumberFormat="1" applyFont="1" applyFill="1" applyBorder="1" applyAlignment="1">
      <x:alignment horizontal="right"/>
    </x:xf>
    <x:xf numFmtId="202" fontId="7" fillId="6" borderId="5" xfId="0" applyNumberFormat="1" applyFont="1" applyFill="1" applyBorder="1" applyAlignment="1">
      <x:alignment horizontal="right"/>
    </x:xf>
    <x:xf numFmtId="0" fontId="7" fillId="5" borderId="5" xfId="0" applyNumberFormat="1" applyFont="1" applyFill="1" applyBorder="1"/>
    <x:xf numFmtId="200" fontId="7" fillId="5" borderId="5" xfId="0" applyNumberFormat="1" applyFont="1" applyFill="1" applyBorder="1" applyAlignment="1">
      <x:alignment horizontal="right"/>
    </x:xf>
    <x:xf numFmtId="201" fontId="7" fillId="5" borderId="5" xfId="0" applyNumberFormat="1" applyFont="1" applyFill="1" applyBorder="1" applyAlignment="1">
      <x:alignment horizontal="right"/>
    </x:xf>
    <x:xf numFmtId="202" fontId="7" fillId="5" borderId="5" xfId="0" applyNumberFormat="1" applyFont="1" applyFill="1" applyBorder="1" applyAlignment="1">
      <x:alignment horizontal="right"/>
    </x:xf>
    <x:xf numFmtId="0" fontId="7" fillId="6" borderId="6" xfId="0" applyNumberFormat="1" applyFont="1" applyFill="1" applyBorder="1"/>
    <x:xf numFmtId="200" fontId="7" fillId="6" borderId="6" xfId="0" applyNumberFormat="1" applyFont="1" applyFill="1" applyBorder="1" applyAlignment="1">
      <x:alignment horizontal="right"/>
    </x:xf>
    <x:xf numFmtId="201" fontId="7" fillId="6" borderId="6" xfId="0" applyNumberFormat="1" applyFont="1" applyFill="1" applyBorder="1" applyAlignment="1">
      <x:alignment horizontal="right"/>
    </x:xf>
    <x:xf numFmtId="202" fontId="7" fillId="6" borderId="6" xfId="0" applyNumberFormat="1" applyFont="1" applyFill="1" applyBorder="1" applyAlignment="1">
      <x:alignment horizontal="right"/>
    </x:xf>
    <x:xf numFmtId="0" fontId="9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7" fillId="0" borderId="4" xfId="0" applyNumberFormat="1" applyFont="1" applyFill="1" applyBorder="1"/>
    <x:xf numFmtId="203" fontId="7" fillId="0" borderId="4" xfId="0" applyNumberFormat="1" applyFont="1" applyFill="1" applyBorder="1"/>
    <x:xf numFmtId="0" fontId="7" fillId="0" borderId="5" xfId="0" applyNumberFormat="1" applyFont="1" applyFill="1" applyBorder="1"/>
    <x:xf numFmtId="203" fontId="7" fillId="0" borderId="5" xfId="0" applyNumberFormat="1" applyFont="1" applyFill="1" applyBorder="1"/>
    <x:xf numFmtId="0" fontId="7" fillId="0" borderId="6" xfId="0" applyNumberFormat="1" applyFont="1" applyFill="1" applyBorder="1"/>
    <x:xf numFmtId="203" fontId="7" fillId="0" borderId="6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0" fontId="7" fillId="0" borderId="4" xfId="0" applyNumberFormat="1" applyFont="1" applyFill="1" applyBorder="1"/>
    <x:xf numFmtId="201" fontId="7" fillId="0" borderId="4" xfId="0" applyNumberFormat="1" applyFont="1" applyFill="1" applyBorder="1"/>
    <x:xf numFmtId="202" fontId="7" fillId="0" borderId="4" xfId="0" applyNumberFormat="1" applyFont="1" applyFill="1" applyBorder="1"/>
    <x:xf numFmtId="200" fontId="7" fillId="0" borderId="5" xfId="0" applyNumberFormat="1" applyFont="1" applyFill="1" applyBorder="1"/>
    <x:xf numFmtId="201" fontId="7" fillId="0" borderId="5" xfId="0" applyNumberFormat="1" applyFont="1" applyFill="1" applyBorder="1"/>
    <x:xf numFmtId="202" fontId="7" fillId="0" borderId="5" xfId="0" applyNumberFormat="1" applyFont="1" applyFill="1" applyBorder="1"/>
    <x:xf numFmtId="200" fontId="7" fillId="0" borderId="6" xfId="0" applyNumberFormat="1" applyFont="1" applyFill="1" applyBorder="1"/>
    <x:xf numFmtId="201" fontId="7" fillId="0" borderId="6" xfId="0" applyNumberFormat="1" applyFont="1" applyFill="1" applyBorder="1"/>
    <x:xf numFmtId="202" fontId="7" fillId="0" borderId="6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8eb6042504f81" /><Relationship Type="http://schemas.openxmlformats.org/officeDocument/2006/relationships/theme" Target="/xl/theme/theme1.xml" Id="R8ca17a10a05945ef" /><Relationship Type="http://schemas.openxmlformats.org/officeDocument/2006/relationships/sharedStrings" Target="/xl/sharedStrings.xml" Id="Re1df8bf05adf44ad" /><Relationship Type="http://schemas.openxmlformats.org/officeDocument/2006/relationships/worksheet" Target="/xl/worksheets/sheet1.xml" Id="R3f18fd847b7e4547" /><Relationship Type="http://schemas.openxmlformats.org/officeDocument/2006/relationships/worksheet" Target="/xl/worksheets/sheet2.xml" Id="Rf8cd2f61ad414f72" /><Relationship Type="http://schemas.openxmlformats.org/officeDocument/2006/relationships/worksheet" Target="/xl/worksheets/sheet3.xml" Id="R70fc3477fdfe4c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59609883224645" /><Relationship Type="http://schemas.openxmlformats.org/officeDocument/2006/relationships/chart" Target="/xl/drawings/charts/chart2.xml" Id="R829897336c6c48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RAND matched minus UF outcome rates (percentage points)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Success delta (pp)</c:v>
          </c:tx>
          <c:cat>
            <c:strRef>
              <c:f>'Deltas'!$A$4:$A$7</c:f>
              <c:strCache>
                <c:ptCount val="0"/>
              </c:strCache>
            </c:strRef>
          </c:cat>
          <c:val>
            <c:numRef>
              <c:f>'Deltas'!$B$4:$B$7</c:f>
              <c:numCache>
                <c:formatCode>+0.0;-0.0;0.0</c:formatCode>
                <c:ptCount val="0"/>
              </c:numCache>
            </c:numRef>
          </c:val>
        </c:ser>
        <c:ser>
          <c:idx val="1"/>
          <c:order val="1"/>
          <c:tx>
            <c:v>Collision delta (pp)</c:v>
          </c:tx>
          <c:cat>
            <c:strRef>
              <c:f>'Deltas'!$A$4:$A$7</c:f>
              <c:strCache>
                <c:ptCount val="0"/>
              </c:strCache>
            </c:strRef>
          </c:cat>
          <c:val>
            <c:numRef>
              <c:f>'Deltas'!$C$4:$C$7</c:f>
              <c:numCache>
                <c:formatCode>+0.0;-0.0;0.0</c:formatCode>
                <c:ptCount val="0"/>
              </c:numCache>
            </c:numRef>
          </c:val>
        </c:ser>
        <c:ser>
          <c:idx val="2"/>
          <c:order val="2"/>
          <c:tx>
            <c:v>Timeout delta (pp)</c:v>
          </c:tx>
          <c:cat>
            <c:strRef>
              <c:f>'Deltas'!$A$4:$A$7</c:f>
              <c:strCache>
                <c:ptCount val="0"/>
              </c:strCache>
            </c:strRef>
          </c:cat>
          <c:val>
            <c:numRef>
              <c:f>'Deltas'!$D$4:$D$7</c:f>
              <c:numCache>
                <c:formatCode>+0.0;-0.0;0.0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RAND 10% minus UF outcome rates (percentage points)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Success delta (pp)</c:v>
          </c:tx>
          <c:cat>
            <c:strRef>
              <c:f>'Deltas'!$A$14:$A$17</c:f>
              <c:strCache>
                <c:ptCount val="0"/>
              </c:strCache>
            </c:strRef>
          </c:cat>
          <c:val>
            <c:numRef>
              <c:f>'Deltas'!$B$14:$B$17</c:f>
              <c:numCache>
                <c:formatCode>+0.0;-0.0;0.0</c:formatCode>
                <c:ptCount val="0"/>
              </c:numCache>
            </c:numRef>
          </c:val>
        </c:ser>
        <c:ser>
          <c:idx val="1"/>
          <c:order val="1"/>
          <c:tx>
            <c:v>Collision delta (pp)</c:v>
          </c:tx>
          <c:cat>
            <c:strRef>
              <c:f>'Deltas'!$A$14:$A$17</c:f>
              <c:strCache>
                <c:ptCount val="0"/>
              </c:strCache>
            </c:strRef>
          </c:cat>
          <c:val>
            <c:numRef>
              <c:f>'Deltas'!$C$14:$C$17</c:f>
              <c:numCache>
                <c:formatCode>+0.0;-0.0;0.0</c:formatCode>
                <c:ptCount val="0"/>
              </c:numCache>
            </c:numRef>
          </c:val>
        </c:ser>
        <c:ser>
          <c:idx val="2"/>
          <c:order val="2"/>
          <c:tx>
            <c:v>Timeout delta (pp)</c:v>
          </c:tx>
          <c:cat>
            <c:strRef>
              <c:f>'Deltas'!$A$14:$A$17</c:f>
              <c:strCache>
                <c:ptCount val="0"/>
              </c:strCache>
            </c:strRef>
          </c:cat>
          <c:val>
            <c:numRef>
              <c:f>'Deltas'!$D$14:$D$17</c:f>
              <c:numCache>
                <c:formatCode>+0.0;-0.0;0.0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59609883224645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9897336c6c48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54acd77997c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20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</x:cols>
  <x:sheetData>
    <x:row r="1" ht="30" customHeight="1">
      <x:c r="A1" s="52" t="str">
        <x:v>RAND baseline for rebuttal evaluation</x:v>
      </x:c>
      <x:c r="B1" s="52"/>
      <x:c r="C1" s="52"/>
      <x:c r="D1" s="52"/>
      <x:c r="E1" s="52"/>
      <x:c r="F1" s="52"/>
      <x:c r="G1" s="52"/>
      <x:c r="H1" s="52"/>
      <x:c r="I1" s="52"/>
    </x:row>
    <x:row r="2" ht="34" customHeight="1">
      <x:c r="A2" s="53" t="str">
        <x:v>Stored matched-rate RAND runs outperform UF on Success, Collision and Timeout in all four procedural comparisons.</x:v>
      </x:c>
      <x:c r="B2" s="53"/>
      <x:c r="C2" s="53"/>
      <x:c r="D2" s="53"/>
      <x:c r="E2" s="53"/>
      <x:c r="F2" s="53"/>
      <x:c r="G2" s="53"/>
      <x:c r="H2" s="53"/>
      <x:c r="I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</x:row>
    <x:row r="4">
      <x:c r="A4" s="55" t="str">
        <x:v>Policy</x:v>
      </x:c>
      <x:c r="B4" s="56" t="str">
        <x:v>Environment</x:v>
      </x:c>
      <x:c r="C4" s="56" t="str">
        <x:v>Method</x:v>
      </x:c>
      <x:c r="D4" s="56" t="str">
        <x:v>Configured activation</x:v>
      </x:c>
      <x:c r="E4" s="56" t="str">
        <x:v>Episodes</x:v>
      </x:c>
      <x:c r="F4" s="56" t="str">
        <x:v>Success</x:v>
      </x:c>
      <x:c r="G4" s="56" t="str">
        <x:v>Collision</x:v>
      </x:c>
      <x:c r="H4" s="56" t="str">
        <x:v>Timeout</x:v>
      </x:c>
      <x:c r="I4" s="57" t="str">
        <x:v>SEL</x:v>
      </x:c>
    </x:row>
    <x:row r="5">
      <x:c r="A5" s="58" t="str">
        <x:v>SAC</x:v>
      </x:c>
      <x:c r="B5" s="58" t="str">
        <x:v>OOD1</x:v>
      </x:c>
      <x:c r="C5" s="58" t="str">
        <x:v>UF q=0.90</x:v>
      </x:c>
      <x:c r="D5" s="59"/>
      <x:c r="E5" s="60" t="n">
        <x:v>1998</x:v>
      </x:c>
      <x:c r="F5" s="59" t="n">
        <x:v>0.8423423423423422</x:v>
      </x:c>
      <x:c r="G5" s="59" t="n">
        <x:v>0.12162162162162163</x:v>
      </x:c>
      <x:c r="H5" s="59" t="n">
        <x:v>0.03603603603603604</x:v>
      </x:c>
      <x:c r="I5" s="61" t="n">
        <x:v>464.3899264289757</x:v>
      </x:c>
    </x:row>
    <x:row r="6">
      <x:c r="A6" s="62" t="str">
        <x:v>SAC</x:v>
      </x:c>
      <x:c r="B6" s="62" t="str">
        <x:v>OOD1</x:v>
      </x:c>
      <x:c r="C6" s="62" t="str">
        <x:v>RAND matched</x:v>
      </x:c>
      <x:c r="D6" s="63" t="n">
        <x:v>0.4905255138874054</x:v>
      </x:c>
      <x:c r="E6" s="64" t="n">
        <x:v>1998</x:v>
      </x:c>
      <x:c r="F6" s="63" t="n">
        <x:v>0.8843843843843844</x:v>
      </x:c>
      <x:c r="G6" s="63" t="n">
        <x:v>0.1091091091091091</x:v>
      </x:c>
      <x:c r="H6" s="63" t="n">
        <x:v>0.0065065065065065065</x:v>
      </x:c>
      <x:c r="I6" s="65" t="n">
        <x:v>392.5075955997905</x:v>
      </x:c>
    </x:row>
    <x:row r="7">
      <x:c r="A7" s="66" t="str">
        <x:v>SAC</x:v>
      </x:c>
      <x:c r="B7" s="66" t="str">
        <x:v>OOD2</x:v>
      </x:c>
      <x:c r="C7" s="66" t="str">
        <x:v>UF q=0.90</x:v>
      </x:c>
      <x:c r="D7" s="67"/>
      <x:c r="E7" s="68" t="n">
        <x:v>1999</x:v>
      </x:c>
      <x:c r="F7" s="67" t="n">
        <x:v>0.8344172086043021</x:v>
      </x:c>
      <x:c r="G7" s="67" t="n">
        <x:v>0.1375687843921961</x:v>
      </x:c>
      <x:c r="H7" s="67" t="n">
        <x:v>0.028014007003501755</x:v>
      </x:c>
      <x:c r="I7" s="69" t="n">
        <x:v>599.8601286173633</x:v>
      </x:c>
    </x:row>
    <x:row r="8">
      <x:c r="A8" s="62" t="str">
        <x:v>SAC</x:v>
      </x:c>
      <x:c r="B8" s="62" t="str">
        <x:v>OOD2</x:v>
      </x:c>
      <x:c r="C8" s="62" t="str">
        <x:v>RAND matched</x:v>
      </x:c>
      <x:c r="D8" s="63" t="n">
        <x:v>0.6821125745773315</x:v>
      </x:c>
      <x:c r="E8" s="64" t="n">
        <x:v>2000</x:v>
      </x:c>
      <x:c r="F8" s="63" t="n">
        <x:v>0.924</x:v>
      </x:c>
      <x:c r="G8" s="63" t="n">
        <x:v>0.0745</x:v>
      </x:c>
      <x:c r="H8" s="63" t="n">
        <x:v>0.0015</x:v>
      </x:c>
      <x:c r="I8" s="65" t="n">
        <x:v>399.58261311642093</x:v>
      </x:c>
    </x:row>
    <x:row r="9">
      <x:c r="A9" s="66" t="str">
        <x:v>SACP</x:v>
      </x:c>
      <x:c r="B9" s="66" t="str">
        <x:v>OOD1</x:v>
      </x:c>
      <x:c r="C9" s="66" t="str">
        <x:v>UF q=0.90</x:v>
      </x:c>
      <x:c r="D9" s="67"/>
      <x:c r="E9" s="68" t="n">
        <x:v>1997</x:v>
      </x:c>
      <x:c r="F9" s="67" t="n">
        <x:v>0.8512769153730596</x:v>
      </x:c>
      <x:c r="G9" s="67" t="n">
        <x:v>0.1056584877315974</x:v>
      </x:c>
      <x:c r="H9" s="67" t="n">
        <x:v>0.04306459689534301</x:v>
      </x:c>
      <x:c r="I9" s="69" t="n">
        <x:v>458.062818336163</x:v>
      </x:c>
    </x:row>
    <x:row r="10">
      <x:c r="A10" s="62" t="str">
        <x:v>SACP</x:v>
      </x:c>
      <x:c r="B10" s="62" t="str">
        <x:v>OOD1</x:v>
      </x:c>
      <x:c r="C10" s="62" t="str">
        <x:v>RAND matched</x:v>
      </x:c>
      <x:c r="D10" s="63" t="n">
        <x:v>0.4909489452838898</x:v>
      </x:c>
      <x:c r="E10" s="64" t="n">
        <x:v>2000</x:v>
      </x:c>
      <x:c r="F10" s="63" t="n">
        <x:v>0.8985</x:v>
      </x:c>
      <x:c r="G10" s="63" t="n">
        <x:v>0.0805</x:v>
      </x:c>
      <x:c r="H10" s="63" t="n">
        <x:v>0.021</x:v>
      </x:c>
      <x:c r="I10" s="65" t="n">
        <x:v>352.0968085106383</x:v>
      </x:c>
    </x:row>
    <x:row r="11">
      <x:c r="A11" s="66" t="str">
        <x:v>SACP</x:v>
      </x:c>
      <x:c r="B11" s="66" t="str">
        <x:v>OOD2</x:v>
      </x:c>
      <x:c r="C11" s="66" t="str">
        <x:v>UF q=0.90</x:v>
      </x:c>
      <x:c r="D11" s="67"/>
      <x:c r="E11" s="68" t="n">
        <x:v>1999</x:v>
      </x:c>
      <x:c r="F11" s="67" t="n">
        <x:v>0.8659329664832416</x:v>
      </x:c>
      <x:c r="G11" s="67" t="n">
        <x:v>0.10855427713856929</x:v>
      </x:c>
      <x:c r="H11" s="67" t="n">
        <x:v>0.025512756378189096</x:v>
      </x:c>
      <x:c r="I11" s="69" t="n">
        <x:v>585.9601275917065</x:v>
      </x:c>
    </x:row>
    <x:row r="12">
      <x:c r="A12" s="70" t="str">
        <x:v>SACP</x:v>
      </x:c>
      <x:c r="B12" s="70" t="str">
        <x:v>OOD2</x:v>
      </x:c>
      <x:c r="C12" s="70" t="str">
        <x:v>RAND matched</x:v>
      </x:c>
      <x:c r="D12" s="71" t="n">
        <x:v>0.6929962038993835</x:v>
      </x:c>
      <x:c r="E12" s="72" t="n">
        <x:v>2000</x:v>
      </x:c>
      <x:c r="F12" s="71" t="n">
        <x:v>0.912</x:v>
      </x:c>
      <x:c r="G12" s="71" t="n">
        <x:v>0.085</x:v>
      </x:c>
      <x:c r="H12" s="71" t="n">
        <x:v>0.003</x:v>
      </x:c>
      <x:c r="I12" s="73" t="n">
        <x:v>360.0030737704918</x:v>
      </x:c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</x:row>
    <x:row r="14" ht="38" customHeight="1">
      <x:c r="A14" s="74" t="str">
        <x:v>Configured RAND activation is 1 - ut because the test samples Uniform(0,1) and activates above ut. The stored episode JSON files do not contain the realized step-level duty cycle.</x:v>
      </x:c>
      <x:c r="B14" s="74"/>
      <x:c r="C14" s="74"/>
      <x:c r="D14" s="74"/>
      <x:c r="E14" s="74"/>
      <x:c r="F14" s="74"/>
      <x:c r="G14" s="74"/>
      <x:c r="H14" s="74"/>
      <x:c r="I14" s="74"/>
    </x:row>
    <x:row r="15" ht="38" customHeight="1">
      <x:c r="A15" s="74" t="str">
        <x:v>Metrics use the rebuttal pipeline: episodes with collisions &gt;= 80 are excluded; Success requires success with zero collisions; SEL is mean length over successful episodes. OOD2 corresponds to obstacles_ood3.</x:v>
      </x:c>
      <x:c r="B15" s="74"/>
      <x:c r="C15" s="74"/>
      <x:c r="D15" s="74"/>
      <x:c r="E15" s="74"/>
      <x:c r="F15" s="74"/>
      <x:c r="G15" s="74"/>
      <x:c r="H15" s="74"/>
      <x:c r="I15" s="74"/>
    </x:row>
  </x:sheetData>
  <x:mergeCells>
    <x:mergeCell ref="A1:I1"/>
    <x:mergeCell ref="A2:I2"/>
    <x:mergeCell ref="A14:I14"/>
    <x:mergeCell ref="A15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7" hidden="0" customWidth="1"/>
    <x:col min="4" max="4" width="19" hidden="0" customWidth="1"/>
    <x:col min="5" max="5" width="19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33" hidden="0" customWidth="1"/>
  </x:cols>
  <x:sheetData>
    <x:row r="1">
      <x:c r="A1" s="82" t="str">
        <x:v>Source runs and secondary RAND configuration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A3" s="83" t="str">
        <x:v>Policy</x:v>
      </x:c>
      <x:c r="B3" s="83" t="str">
        <x:v>Environment</x:v>
      </x:c>
      <x:c r="C3" s="83" t="str">
        <x:v>Method</x:v>
      </x:c>
      <x:c r="D3" s="83" t="str">
        <x:v>ut</x:v>
      </x:c>
      <x:c r="E3" s="83" t="str">
        <x:v>Configured activation</x:v>
      </x:c>
      <x:c r="F3" s="83" t="str">
        <x:v>Episodes</x:v>
      </x:c>
      <x:c r="G3" s="83" t="str">
        <x:v>Success</x:v>
      </x:c>
      <x:c r="H3" s="83" t="str">
        <x:v>Collision</x:v>
      </x:c>
      <x:c r="I3" s="83" t="str">
        <x:v>Timeout</x:v>
      </x:c>
      <x:c r="J3" s="83" t="str">
        <x:v>SEL</x:v>
      </x:c>
      <x:c r="K3" s="83" t="str">
        <x:v>Test ID</x:v>
      </x:c>
    </x:row>
    <x:row r="4">
      <x:c r="A4" s="84" t="str">
        <x:v>SAC</x:v>
      </x:c>
      <x:c r="B4" s="84" t="str">
        <x:v>OOD1</x:v>
      </x:c>
      <x:c r="C4" s="84" t="str">
        <x:v>UF q=0.90</x:v>
      </x:c>
      <x:c r="D4" s="100" t="n">
        <x:v>0.9</x:v>
      </x:c>
      <x:c r="E4" s="100"/>
      <x:c r="F4" s="101" t="n">
        <x:v>1998</x:v>
      </x:c>
      <x:c r="G4" s="100" t="n">
        <x:v>0.8423423423423422</x:v>
      </x:c>
      <x:c r="H4" s="100" t="n">
        <x:v>0.12162162162162163</x:v>
      </x:c>
      <x:c r="I4" s="100" t="n">
        <x:v>0.03603603603603604</x:v>
      </x:c>
      <x:c r="J4" s="102" t="n">
        <x:v>464.3899264289757</x:v>
      </x:c>
      <x:c r="K4" s="84" t="str">
        <x:v>OOD_UECBF_TH090_2_6269457</x:v>
      </x:c>
    </x:row>
    <x:row r="5">
      <x:c r="A5" s="86" t="str">
        <x:v>SAC</x:v>
      </x:c>
      <x:c r="B5" s="86" t="str">
        <x:v>OOD1</x:v>
      </x:c>
      <x:c r="C5" s="86" t="str">
        <x:v>RAND matched</x:v>
      </x:c>
      <x:c r="D5" s="103" t="n">
        <x:v>0.5094744861125946</x:v>
      </x:c>
      <x:c r="E5" s="103" t="n">
        <x:v>0.4905255138874054</x:v>
      </x:c>
      <x:c r="F5" s="104" t="n">
        <x:v>1998</x:v>
      </x:c>
      <x:c r="G5" s="103" t="n">
        <x:v>0.8843843843843844</x:v>
      </x:c>
      <x:c r="H5" s="103" t="n">
        <x:v>0.1091091091091091</x:v>
      </x:c>
      <x:c r="I5" s="103" t="n">
        <x:v>0.0065065065065065065</x:v>
      </x:c>
      <x:c r="J5" s="105" t="n">
        <x:v>392.5075955997905</x:v>
      </x:c>
      <x:c r="K5" s="86" t="str">
        <x:v>OOD1_RAND_13648343</x:v>
      </x:c>
    </x:row>
    <x:row r="6">
      <x:c r="A6" s="86" t="str">
        <x:v>SAC</x:v>
      </x:c>
      <x:c r="B6" s="86" t="str">
        <x:v>OOD1</x:v>
      </x:c>
      <x:c r="C6" s="86" t="str">
        <x:v>RAND 10%</x:v>
      </x:c>
      <x:c r="D6" s="103" t="n">
        <x:v>0.9</x:v>
      </x:c>
      <x:c r="E6" s="103" t="n">
        <x:v>0.1</x:v>
      </x:c>
      <x:c r="F6" s="104" t="n">
        <x:v>1998</x:v>
      </x:c>
      <x:c r="G6" s="103" t="n">
        <x:v>0.854</x:v>
      </x:c>
      <x:c r="H6" s="103" t="n">
        <x:v>0.14</x:v>
      </x:c>
      <x:c r="I6" s="103" t="n">
        <x:v>0.006</x:v>
      </x:c>
      <x:c r="J6" s="105" t="n">
        <x:v>387.2</x:v>
      </x:c>
      <x:c r="K6" s="86" t="str">
        <x:v>OOD1_RAND_13650511</x:v>
      </x:c>
    </x:row>
    <x:row r="7">
      <x:c r="A7" s="86" t="str">
        <x:v>SAC</x:v>
      </x:c>
      <x:c r="B7" s="86" t="str">
        <x:v>OOD2</x:v>
      </x:c>
      <x:c r="C7" s="86" t="str">
        <x:v>UF q=0.90</x:v>
      </x:c>
      <x:c r="D7" s="103" t="n">
        <x:v>0.9</x:v>
      </x:c>
      <x:c r="E7" s="103"/>
      <x:c r="F7" s="104" t="n">
        <x:v>1999</x:v>
      </x:c>
      <x:c r="G7" s="103" t="n">
        <x:v>0.8344172086043021</x:v>
      </x:c>
      <x:c r="H7" s="103" t="n">
        <x:v>0.1375687843921961</x:v>
      </x:c>
      <x:c r="I7" s="103" t="n">
        <x:v>0.028014007003501755</x:v>
      </x:c>
      <x:c r="J7" s="105" t="n">
        <x:v>599.8601286173633</x:v>
      </x:c>
      <x:c r="K7" s="86" t="str">
        <x:v>OOD_UECBF_TH090_2_6319547</x:v>
      </x:c>
    </x:row>
    <x:row r="8">
      <x:c r="A8" s="86" t="str">
        <x:v>SAC</x:v>
      </x:c>
      <x:c r="B8" s="86" t="str">
        <x:v>OOD2</x:v>
      </x:c>
      <x:c r="C8" s="86" t="str">
        <x:v>RAND matched</x:v>
      </x:c>
      <x:c r="D8" s="103" t="n">
        <x:v>0.31788742542266846</x:v>
      </x:c>
      <x:c r="E8" s="103" t="n">
        <x:v>0.6821125745773315</x:v>
      </x:c>
      <x:c r="F8" s="104" t="n">
        <x:v>2000</x:v>
      </x:c>
      <x:c r="G8" s="103" t="n">
        <x:v>0.924</x:v>
      </x:c>
      <x:c r="H8" s="103" t="n">
        <x:v>0.0745</x:v>
      </x:c>
      <x:c r="I8" s="103" t="n">
        <x:v>0.0015</x:v>
      </x:c>
      <x:c r="J8" s="105" t="n">
        <x:v>399.58261311642093</x:v>
      </x:c>
      <x:c r="K8" s="86" t="str">
        <x:v>OOD3_RAND_13648346</x:v>
      </x:c>
    </x:row>
    <x:row r="9">
      <x:c r="A9" s="86" t="str">
        <x:v>SAC</x:v>
      </x:c>
      <x:c r="B9" s="86" t="str">
        <x:v>OOD2</x:v>
      </x:c>
      <x:c r="C9" s="86" t="str">
        <x:v>RAND 10%</x:v>
      </x:c>
      <x:c r="D9" s="103" t="n">
        <x:v>0.9</x:v>
      </x:c>
      <x:c r="E9" s="103" t="n">
        <x:v>0.1</x:v>
      </x:c>
      <x:c r="F9" s="104" t="n">
        <x:v>2000</x:v>
      </x:c>
      <x:c r="G9" s="103" t="n">
        <x:v>0.853</x:v>
      </x:c>
      <x:c r="H9" s="103" t="n">
        <x:v>0.146</x:v>
      </x:c>
      <x:c r="I9" s="103" t="n">
        <x:v>0.001</x:v>
      </x:c>
      <x:c r="J9" s="105" t="n">
        <x:v>381.9</x:v>
      </x:c>
      <x:c r="K9" s="86" t="str">
        <x:v>OOD3_RAND_13650317</x:v>
      </x:c>
    </x:row>
    <x:row r="10">
      <x:c r="A10" s="86" t="str">
        <x:v>SACP</x:v>
      </x:c>
      <x:c r="B10" s="86" t="str">
        <x:v>OOD1</x:v>
      </x:c>
      <x:c r="C10" s="86" t="str">
        <x:v>UF q=0.90</x:v>
      </x:c>
      <x:c r="D10" s="103" t="n">
        <x:v>0.9</x:v>
      </x:c>
      <x:c r="E10" s="103"/>
      <x:c r="F10" s="104" t="n">
        <x:v>1997</x:v>
      </x:c>
      <x:c r="G10" s="103" t="n">
        <x:v>0.8512769153730596</x:v>
      </x:c>
      <x:c r="H10" s="103" t="n">
        <x:v>0.1056584877315974</x:v>
      </x:c>
      <x:c r="I10" s="103" t="n">
        <x:v>0.04306459689534301</x:v>
      </x:c>
      <x:c r="J10" s="105" t="n">
        <x:v>458.062818336163</x:v>
      </x:c>
      <x:c r="K10" s="86" t="str">
        <x:v>OOD_UECBF_TH090_2_6274470</x:v>
      </x:c>
    </x:row>
    <x:row r="11">
      <x:c r="A11" s="86" t="str">
        <x:v>SACP</x:v>
      </x:c>
      <x:c r="B11" s="86" t="str">
        <x:v>OOD1</x:v>
      </x:c>
      <x:c r="C11" s="86" t="str">
        <x:v>RAND matched</x:v>
      </x:c>
      <x:c r="D11" s="103" t="n">
        <x:v>0.5090510547161102</x:v>
      </x:c>
      <x:c r="E11" s="103" t="n">
        <x:v>0.4909489452838898</x:v>
      </x:c>
      <x:c r="F11" s="104" t="n">
        <x:v>2000</x:v>
      </x:c>
      <x:c r="G11" s="103" t="n">
        <x:v>0.8985</x:v>
      </x:c>
      <x:c r="H11" s="103" t="n">
        <x:v>0.0805</x:v>
      </x:c>
      <x:c r="I11" s="103" t="n">
        <x:v>0.021</x:v>
      </x:c>
      <x:c r="J11" s="105" t="n">
        <x:v>352.0968085106383</x:v>
      </x:c>
      <x:c r="K11" s="86" t="str">
        <x:v>OOD1_RAND_13652708</x:v>
      </x:c>
    </x:row>
    <x:row r="12">
      <x:c r="A12" s="86" t="str">
        <x:v>SACP</x:v>
      </x:c>
      <x:c r="B12" s="86" t="str">
        <x:v>OOD1</x:v>
      </x:c>
      <x:c r="C12" s="86" t="str">
        <x:v>RAND 10%</x:v>
      </x:c>
      <x:c r="D12" s="103" t="n">
        <x:v>0.9</x:v>
      </x:c>
      <x:c r="E12" s="103" t="n">
        <x:v>0.1</x:v>
      </x:c>
      <x:c r="F12" s="104" t="n">
        <x:v>1998</x:v>
      </x:c>
      <x:c r="G12" s="103" t="n">
        <x:v>0.874</x:v>
      </x:c>
      <x:c r="H12" s="103" t="n">
        <x:v>0.111</x:v>
      </x:c>
      <x:c r="I12" s="103" t="n">
        <x:v>0.015</x:v>
      </x:c>
      <x:c r="J12" s="105" t="n">
        <x:v>342.9</x:v>
      </x:c>
      <x:c r="K12" s="86" t="str">
        <x:v>OOD1_RAND_13654883</x:v>
      </x:c>
    </x:row>
    <x:row r="13">
      <x:c r="A13" s="86" t="str">
        <x:v>SACP</x:v>
      </x:c>
      <x:c r="B13" s="86" t="str">
        <x:v>OOD2</x:v>
      </x:c>
      <x:c r="C13" s="86" t="str">
        <x:v>UF q=0.90</x:v>
      </x:c>
      <x:c r="D13" s="103" t="n">
        <x:v>0.9</x:v>
      </x:c>
      <x:c r="E13" s="103"/>
      <x:c r="F13" s="104" t="n">
        <x:v>1999</x:v>
      </x:c>
      <x:c r="G13" s="103" t="n">
        <x:v>0.8659329664832416</x:v>
      </x:c>
      <x:c r="H13" s="103" t="n">
        <x:v>0.10855427713856929</x:v>
      </x:c>
      <x:c r="I13" s="103" t="n">
        <x:v>0.025512756378189096</x:v>
      </x:c>
      <x:c r="J13" s="105" t="n">
        <x:v>585.9601275917065</x:v>
      </x:c>
      <x:c r="K13" s="86" t="str">
        <x:v>OOD_UECBF_TH090_2_6324780</x:v>
      </x:c>
    </x:row>
    <x:row r="14">
      <x:c r="A14" s="86" t="str">
        <x:v>SACP</x:v>
      </x:c>
      <x:c r="B14" s="86" t="str">
        <x:v>OOD2</x:v>
      </x:c>
      <x:c r="C14" s="86" t="str">
        <x:v>RAND matched</x:v>
      </x:c>
      <x:c r="D14" s="103" t="n">
        <x:v>0.30700379610061646</x:v>
      </x:c>
      <x:c r="E14" s="103" t="n">
        <x:v>0.6929962038993835</x:v>
      </x:c>
      <x:c r="F14" s="104" t="n">
        <x:v>2000</x:v>
      </x:c>
      <x:c r="G14" s="103" t="n">
        <x:v>0.912</x:v>
      </x:c>
      <x:c r="H14" s="103" t="n">
        <x:v>0.085</x:v>
      </x:c>
      <x:c r="I14" s="103" t="n">
        <x:v>0.003</x:v>
      </x:c>
      <x:c r="J14" s="105" t="n">
        <x:v>360.0030737704918</x:v>
      </x:c>
      <x:c r="K14" s="86" t="str">
        <x:v>OOD3_RAND_13652200</x:v>
      </x:c>
    </x:row>
    <x:row r="15">
      <x:c r="A15" s="88" t="str">
        <x:v>SACP</x:v>
      </x:c>
      <x:c r="B15" s="88" t="str">
        <x:v>OOD2</x:v>
      </x:c>
      <x:c r="C15" s="88" t="str">
        <x:v>RAND 10%</x:v>
      </x:c>
      <x:c r="D15" s="106" t="n">
        <x:v>0.9</x:v>
      </x:c>
      <x:c r="E15" s="106" t="n">
        <x:v>0.1</x:v>
      </x:c>
      <x:c r="F15" s="107" t="n">
        <x:v>1997</x:v>
      </x:c>
      <x:c r="G15" s="106" t="n">
        <x:v>0.837</x:v>
      </x:c>
      <x:c r="H15" s="106" t="n">
        <x:v>0.162</x:v>
      </x:c>
      <x:c r="I15" s="106" t="n">
        <x:v>0.001</x:v>
      </x:c>
      <x:c r="J15" s="108" t="n">
        <x:v>351.2</x:v>
      </x:c>
      <x:c r="K15" s="88" t="str">
        <x:v>OOD3_RAND_13654080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82" t="str">
        <x:v>RAND matched minus UF</x:v>
      </x:c>
      <x:c r="B1" s="82"/>
      <x:c r="C1" s="82"/>
      <x:c r="D1" s="82"/>
      <x:c r="E1" s="82"/>
    </x:row>
    <x:row r="2">
      <x:c r="A2" s="54"/>
      <x:c r="B2" s="54"/>
      <x:c r="C2" s="54"/>
      <x:c r="D2" s="54"/>
      <x:c r="E2" s="54"/>
    </x:row>
    <x:row r="3">
      <x:c r="A3" s="83" t="str">
        <x:v>Comparison</x:v>
      </x:c>
      <x:c r="B3" s="83" t="str">
        <x:v>Success delta (pp)</x:v>
      </x:c>
      <x:c r="C3" s="83" t="str">
        <x:v>Collision delta (pp)</x:v>
      </x:c>
      <x:c r="D3" s="83" t="str">
        <x:v>Timeout delta (pp)</x:v>
      </x:c>
      <x:c r="E3" s="83" t="str">
        <x:v>SEL delta</x:v>
      </x:c>
    </x:row>
    <x:row r="4">
      <x:c r="A4" s="84" t="str">
        <x:v>SAC OOD1</x:v>
      </x:c>
      <x:c r="B4" s="85" t="n">
        <x:f>('Decision'!F6-'Decision'!F5)*100</x:f>
        <x:v>4.2042042042042205</x:v>
      </x:c>
      <x:c r="C4" s="85" t="n">
        <x:f>('Decision'!G6-'Decision'!G5)*100</x:f>
        <x:v>-1.2512512512512521</x:v>
      </x:c>
      <x:c r="D4" s="85" t="n">
        <x:f>('Decision'!H6-'Decision'!H5)*100</x:f>
        <x:v>-2.9529529529529537</x:v>
      </x:c>
      <x:c r="E4" s="85" t="n">
        <x:f>'Decision'!I6-'Decision'!I5</x:f>
        <x:v>-71.88233082918521</x:v>
      </x:c>
    </x:row>
    <x:row r="5">
      <x:c r="A5" s="86" t="str">
        <x:v>SAC OOD2</x:v>
      </x:c>
      <x:c r="B5" s="87" t="n">
        <x:f>('Decision'!F8-'Decision'!F7)*100</x:f>
        <x:v>8.958279139569791</x:v>
      </x:c>
      <x:c r="C5" s="87" t="n">
        <x:f>('Decision'!G8-'Decision'!G7)*100</x:f>
        <x:v>-6.306878439219611</x:v>
      </x:c>
      <x:c r="D5" s="87" t="n">
        <x:f>('Decision'!H8-'Decision'!H7)*100</x:f>
        <x:v>-2.6514007003501754</x:v>
      </x:c>
      <x:c r="E5" s="87" t="n">
        <x:f>'Decision'!I8-'Decision'!I7</x:f>
        <x:v>-200.2775155009424</x:v>
      </x:c>
    </x:row>
    <x:row r="6">
      <x:c r="A6" s="86" t="str">
        <x:v>SACP OOD1</x:v>
      </x:c>
      <x:c r="B6" s="87" t="n">
        <x:f>('Decision'!F10-'Decision'!F9)*100</x:f>
        <x:v>4.722308462694036</x:v>
      </x:c>
      <x:c r="C6" s="87" t="n">
        <x:f>('Decision'!G10-'Decision'!G9)*100</x:f>
        <x:v>-2.51584877315974</x:v>
      </x:c>
      <x:c r="D6" s="87" t="n">
        <x:f>('Decision'!H10-'Decision'!H9)*100</x:f>
        <x:v>-2.206459689534301</x:v>
      </x:c>
      <x:c r="E6" s="87" t="n">
        <x:f>'Decision'!I10-'Decision'!I9</x:f>
        <x:v>-105.96600982552468</x:v>
      </x:c>
    </x:row>
    <x:row r="7">
      <x:c r="A7" s="88" t="str">
        <x:v>SACP OOD2</x:v>
      </x:c>
      <x:c r="B7" s="89" t="n">
        <x:f>('Decision'!F12-'Decision'!F11)*100</x:f>
        <x:v>4.606703351675845</x:v>
      </x:c>
      <x:c r="C7" s="89" t="n">
        <x:f>('Decision'!G12-'Decision'!G11)*100</x:f>
        <x:v>-2.355427713856928</x:v>
      </x:c>
      <x:c r="D7" s="89" t="n">
        <x:f>('Decision'!H12-'Decision'!H11)*100</x:f>
        <x:v>-2.25127563781891</x:v>
      </x:c>
      <x:c r="E7" s="89" t="n">
        <x:f>'Decision'!I12-'Decision'!I11</x:f>
        <x:v>-225.95705382121469</x:v>
      </x:c>
    </x:row>
    <x:row r="8">
      <x:c r="A8" s="54"/>
      <x:c r="B8" s="54"/>
      <x:c r="C8" s="54"/>
      <x:c r="D8" s="54"/>
      <x:c r="E8" s="54"/>
    </x:row>
    <x:row r="9">
      <x:c r="A9" s="90" t="str">
        <x:v>Interpretation: positive Success and negative Collision or Timeout favor RAND. SEL is reported for completeness.</x:v>
      </x:c>
      <x:c r="B9" s="90"/>
      <x:c r="C9" s="90"/>
      <x:c r="D9" s="90"/>
      <x:c r="E9" s="90"/>
    </x:row>
    <x:row r="11">
      <x:c r="A11" s="110" t="str">
        <x:v>RAND 10% minus UF</x:v>
      </x:c>
      <x:c r="B11" s="110"/>
      <x:c r="C11" s="110"/>
      <x:c r="D11" s="110"/>
      <x:c r="E11" s="110"/>
    </x:row>
    <x:row r="13">
      <x:c r="A13" s="114" t="str">
        <x:v>Comparison</x:v>
      </x:c>
      <x:c r="B13" s="114" t="str">
        <x:v>Success delta (pp)</x:v>
      </x:c>
      <x:c r="C13" s="114" t="str">
        <x:v>Collision delta (pp)</x:v>
      </x:c>
      <x:c r="D13" s="114" t="str">
        <x:v>Timeout delta (pp)</x:v>
      </x:c>
      <x:c r="E13" s="114" t="str">
        <x:v>SEL delta</x:v>
      </x:c>
    </x:row>
    <x:row r="14">
      <x:c r="A14" s="84" t="str">
        <x:v>SAC OOD1</x:v>
      </x:c>
      <x:c r="B14" s="85" t="n">
        <x:f>('Audit'!G6-'Audit'!G4)*100</x:f>
        <x:v>1.1657657657657805</x:v>
      </x:c>
      <x:c r="C14" s="85" t="n">
        <x:f>('Audit'!H6-'Audit'!H4)*100</x:f>
        <x:v>1.8378378378378386</x:v>
      </x:c>
      <x:c r="D14" s="85" t="n">
        <x:f>('Audit'!I6-'Audit'!I4)*100</x:f>
        <x:v>-3.0036036036036045</x:v>
      </x:c>
      <x:c r="E14" s="85" t="n">
        <x:f>'Audit'!J6-'Audit'!J4</x:f>
        <x:v>-77.1899264289757</x:v>
      </x:c>
    </x:row>
    <x:row r="15">
      <x:c r="A15" s="86" t="str">
        <x:v>SAC OOD2</x:v>
      </x:c>
      <x:c r="B15" s="87" t="n">
        <x:f>('Audit'!G9-'Audit'!G7)*100</x:f>
        <x:v>1.858279139569785</x:v>
      </x:c>
      <x:c r="C15" s="87" t="n">
        <x:f>('Audit'!H9-'Audit'!H7)*100</x:f>
        <x:v>0.8431215607803882</x:v>
      </x:c>
      <x:c r="D15" s="87" t="n">
        <x:f>('Audit'!I9-'Audit'!I7)*100</x:f>
        <x:v>-2.701400700350175</x:v>
      </x:c>
      <x:c r="E15" s="87" t="n">
        <x:f>'Audit'!J9-'Audit'!J7</x:f>
        <x:v>-217.96012861736335</x:v>
      </x:c>
    </x:row>
    <x:row r="16">
      <x:c r="A16" s="86" t="str">
        <x:v>SACP OOD1</x:v>
      </x:c>
      <x:c r="B16" s="87" t="n">
        <x:f>('Audit'!G12-'Audit'!G10)*100</x:f>
        <x:v>2.2723084626940393</x:v>
      </x:c>
      <x:c r="C16" s="87" t="n">
        <x:f>('Audit'!H12-'Audit'!H10)*100</x:f>
        <x:v>0.5341512268402598</x:v>
      </x:c>
      <x:c r="D16" s="87" t="n">
        <x:f>('Audit'!I12-'Audit'!I10)*100</x:f>
        <x:v>-2.806459689534301</x:v>
      </x:c>
      <x:c r="E16" s="87" t="n">
        <x:f>'Audit'!J12-'Audit'!J10</x:f>
        <x:v>-115.16281833616301</x:v>
      </x:c>
    </x:row>
    <x:row r="17">
      <x:c r="A17" s="88" t="str">
        <x:v>SACP OOD2</x:v>
      </x:c>
      <x:c r="B17" s="89" t="n">
        <x:f>('Audit'!G15-'Audit'!G13)*100</x:f>
        <x:v>-2.893296648324162</x:v>
      </x:c>
      <x:c r="C17" s="89" t="n">
        <x:f>('Audit'!H15-'Audit'!H13)*100</x:f>
        <x:v>5.344572286143072</x:v>
      </x:c>
      <x:c r="D17" s="89" t="n">
        <x:f>('Audit'!I15-'Audit'!I13)*100</x:f>
        <x:v>-2.4512756378189096</x:v>
      </x:c>
      <x:c r="E17" s="89" t="n">
        <x:f>'Audit'!J15-'Audit'!J13</x:f>
        <x:v>-234.76012759170652</x:v>
      </x:c>
    </x:row>
    <x:row r="19" ht="34" customHeight="1">
      <x:c r="A19" s="117" t="str">
        <x:v>Positive Success favors RAND. Negative Collision or Timeout favors RAND. The 10% configuration reduces intervention frequency and exposes a different safety-progress trade-off.</x:v>
      </x:c>
      <x:c r="B19" s="117"/>
      <x:c r="C19" s="117"/>
      <x:c r="D19" s="117"/>
      <x:c r="E19" s="117"/>
    </x:row>
  </x:sheetData>
  <x:mergeCells>
    <x:mergeCell ref="A1:E1"/>
    <x:mergeCell ref="A9:E9"/>
    <x:mergeCell ref="A11:E11"/>
    <x:mergeCell ref="A19:E19"/>
  </x:mergeCells>
  <x:conditionalFormatting sqref="B4:B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C4:E7">
    <x:cfRule type="cellIs" dxfId="2" priority="3" operator="lessThan">
      <x:formula>0</x:formula>
    </x:cfRule>
    <x:cfRule type="cellIs" dxfId="3" priority="4" operator="greaterThan">
      <x:formula>0</x:formula>
    </x:cfRule>
  </x:conditionalFormatting>
  <x:conditionalFormatting sqref="B14:B17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C14:E17">
    <x:cfRule type="cellIs" dxfId="6" priority="7" operator="lessThan">
      <x:formula>0</x:formula>
    </x:cfRule>
    <x:cfRule type="cellIs" dxfId="7" priority="8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a54acd77997c493b"/>
</x:worksheet>
</file>